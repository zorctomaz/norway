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škovn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0B1220"/>
      <sz val="16"/>
    </font>
    <font>
      <name val="Arial"/>
      <i val="1"/>
      <color rgb="006D7FA0"/>
      <sz val="10"/>
    </font>
    <font>
      <name val="Arial"/>
      <i val="1"/>
      <color rgb="006D7FA0"/>
      <sz val="9"/>
    </font>
    <font>
      <name val="Arial"/>
      <b val="1"/>
    </font>
    <font>
      <name val="Arial"/>
      <color rgb="00000000"/>
    </font>
    <font>
      <name val="Arial"/>
      <b val="1"/>
      <color rgb="000000FF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9EDF5"/>
      </patternFill>
    </fill>
    <fill>
      <patternFill patternType="solid">
        <fgColor rgb="00FFFDE7"/>
      </patternFill>
    </fill>
    <fill>
      <patternFill patternType="solid">
        <fgColor rgb="0010192B"/>
      </patternFill>
    </fill>
    <fill>
      <patternFill patternType="solid">
        <fgColor rgb="00D9F7EA"/>
      </patternFill>
    </fill>
  </fills>
  <borders count="6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  <border>
      <left/>
      <right/>
      <top style="thin">
        <color rgb="00C9CDD6"/>
      </top>
      <bottom/>
      <diagonal/>
    </border>
    <border>
      <left/>
      <right style="thin">
        <color rgb="00C9CDD6"/>
      </right>
      <top style="thin">
        <color rgb="00C9CDD6"/>
      </top>
      <bottom/>
      <diagonal/>
    </border>
    <border>
      <left/>
      <right/>
      <top style="thin">
        <color rgb="00C9CDD6"/>
      </top>
      <bottom style="thin">
        <color rgb="00C9CDD6"/>
      </bottom>
      <diagonal/>
    </border>
    <border>
      <left/>
      <right style="thin">
        <color rgb="00C9CDD6"/>
      </right>
      <top style="thin">
        <color rgb="00C9CDD6"/>
      </top>
      <bottom style="thin">
        <color rgb="00C9CDD6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4" fontId="6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4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2" customWidth="1" min="4" max="4"/>
    <col width="16" customWidth="1" min="5" max="5"/>
  </cols>
  <sheetData>
    <row r="1">
      <c r="A1" s="1" t="inlineStr">
        <is>
          <t>STROŠKOVNIK POTOVANJA — ZorcArctic Expedition</t>
        </is>
      </c>
    </row>
    <row r="2">
      <c r="A2" s="2" t="inlineStr">
        <is>
          <t>10-dnevna vodena odprava po arktični Norveški — ocena stroškov kombija, nastanitve in opazovanja kitov</t>
        </is>
      </c>
    </row>
    <row r="3">
      <c r="A3" s="3" t="inlineStr">
        <is>
          <t>Modra pisava = vnesi svojo vrednost.  Rumena podlaga = ključna predpostavka.  Črna pisava = samodejni izračun (ne spreminjaj).</t>
        </is>
      </c>
    </row>
    <row r="5">
      <c r="A5" s="4" t="inlineStr">
        <is>
          <t>PREDPOSTAVKE</t>
        </is>
      </c>
    </row>
    <row r="6">
      <c r="A6" s="5" t="inlineStr">
        <is>
          <t>Število oseb v skupini</t>
        </is>
      </c>
      <c r="B6" s="6" t="n">
        <v>6</v>
      </c>
    </row>
    <row r="7">
      <c r="A7" s="5" t="inlineStr">
        <is>
          <t>Število dni potovanja</t>
        </is>
      </c>
      <c r="B7" s="6" t="n">
        <v>10</v>
      </c>
    </row>
    <row r="8">
      <c r="A8" s="5" t="inlineStr">
        <is>
          <t>Nočitev skupaj</t>
        </is>
      </c>
      <c r="B8" s="6" t="n">
        <v>9</v>
      </c>
    </row>
    <row r="9">
      <c r="A9" s="5" t="inlineStr">
        <is>
          <t xml:space="preserve">  od tega nočitve v hotelu (Tromsø)</t>
        </is>
      </c>
      <c r="B9" s="6" t="n">
        <v>2</v>
      </c>
    </row>
    <row r="10">
      <c r="A10" s="5" t="inlineStr">
        <is>
          <t xml:space="preserve">  od tega nočitve v hiškah/apartmajih</t>
        </is>
      </c>
      <c r="B10" s="7">
        <f>B8-B9</f>
        <v/>
      </c>
    </row>
    <row r="11">
      <c r="A11" s="5" t="inlineStr">
        <is>
          <t xml:space="preserve">  potrebne dvoposteljne sobe (hotel)</t>
        </is>
      </c>
      <c r="B11" s="7">
        <f>ROUNDUP(B6/2,0)</f>
        <v/>
      </c>
    </row>
    <row r="13">
      <c r="A13" s="5" t="inlineStr">
        <is>
          <t>Najem kombija — cena/dan (€)</t>
        </is>
      </c>
      <c r="B13" s="8" t="n">
        <v>90</v>
      </c>
    </row>
    <row r="14">
      <c r="A14" s="5" t="inlineStr">
        <is>
          <t>Najem kombija — število dni</t>
        </is>
      </c>
      <c r="B14" s="7">
        <f>B7</f>
        <v/>
      </c>
    </row>
    <row r="15">
      <c r="A15" s="5" t="inlineStr">
        <is>
          <t>Ocenjena skupna razdalja (km)</t>
        </is>
      </c>
      <c r="B15" s="9" t="n">
        <v>1400</v>
      </c>
    </row>
    <row r="16">
      <c r="A16" s="5" t="inlineStr">
        <is>
          <t>Poraba dizla (L / 100 km)</t>
        </is>
      </c>
      <c r="B16" s="10" t="n">
        <v>10</v>
      </c>
    </row>
    <row r="17">
      <c r="A17" s="5" t="inlineStr">
        <is>
          <t>Cena dizla (€ / L)</t>
        </is>
      </c>
      <c r="B17" s="8" t="n">
        <v>1.65</v>
      </c>
    </row>
    <row r="19">
      <c r="A19" s="5" t="inlineStr">
        <is>
          <t>Cena hiške/apartmaja (€ / noč, cela enota)</t>
        </is>
      </c>
      <c r="B19" s="8" t="n">
        <v>150</v>
      </c>
    </row>
    <row r="20">
      <c r="A20" s="5" t="inlineStr">
        <is>
          <t>Cena hotelske sobe (€ / noč / soba)</t>
        </is>
      </c>
      <c r="B20" s="8" t="n">
        <v>120</v>
      </c>
    </row>
    <row r="21">
      <c r="A21" s="5" t="inlineStr">
        <is>
          <t>Karta za opazovanje kitov (€ / osebo)</t>
        </is>
      </c>
      <c r="B21" s="8" t="n">
        <v>120</v>
      </c>
    </row>
    <row r="24">
      <c r="A24" s="4" t="inlineStr">
        <is>
          <t>STROŠKI</t>
        </is>
      </c>
    </row>
    <row r="25">
      <c r="A25" s="11" t="inlineStr">
        <is>
          <t>Postavka</t>
        </is>
      </c>
      <c r="B25" s="11" t="inlineStr">
        <is>
          <t>Enota</t>
        </is>
      </c>
      <c r="C25" s="11" t="inlineStr">
        <is>
          <t>Cena na enoto (€)</t>
        </is>
      </c>
      <c r="D25" s="11" t="inlineStr">
        <is>
          <t>Količina</t>
        </is>
      </c>
      <c r="E25" s="11" t="inlineStr">
        <is>
          <t>Skupaj (€)</t>
        </is>
      </c>
    </row>
    <row r="26">
      <c r="A26" s="12" t="inlineStr">
        <is>
          <t>Najem kombija (dizel)</t>
        </is>
      </c>
      <c r="B26" s="13" t="inlineStr">
        <is>
          <t>dni</t>
        </is>
      </c>
      <c r="C26" s="14">
        <f>B13</f>
        <v/>
      </c>
      <c r="D26" s="15">
        <f>B14</f>
        <v/>
      </c>
      <c r="E26" s="14">
        <f>C26*D26</f>
        <v/>
      </c>
    </row>
    <row r="27">
      <c r="A27" s="12" t="inlineStr">
        <is>
          <t>Gorivo (dizel)</t>
        </is>
      </c>
      <c r="B27" s="13" t="inlineStr">
        <is>
          <t>L</t>
        </is>
      </c>
      <c r="C27" s="14">
        <f>B17</f>
        <v/>
      </c>
      <c r="D27" s="15">
        <f>B15/100*B16</f>
        <v/>
      </c>
      <c r="E27" s="14">
        <f>C27*D27</f>
        <v/>
      </c>
    </row>
    <row r="28">
      <c r="A28" s="12" t="inlineStr">
        <is>
          <t>Nastanitev — hiške/apartmaji</t>
        </is>
      </c>
      <c r="B28" s="13" t="inlineStr">
        <is>
          <t>noči</t>
        </is>
      </c>
      <c r="C28" s="14">
        <f>B19</f>
        <v/>
      </c>
      <c r="D28" s="15">
        <f>B10</f>
        <v/>
      </c>
      <c r="E28" s="14">
        <f>C28*D28</f>
        <v/>
      </c>
    </row>
    <row r="29">
      <c r="A29" s="12" t="inlineStr">
        <is>
          <t>Nastanitev — hotel (Tromsø)</t>
        </is>
      </c>
      <c r="B29" s="13" t="inlineStr">
        <is>
          <t>sobe×noči</t>
        </is>
      </c>
      <c r="C29" s="14">
        <f>B20</f>
        <v/>
      </c>
      <c r="D29" s="15">
        <f>B11*B9</f>
        <v/>
      </c>
      <c r="E29" s="14">
        <f>C29*D29</f>
        <v/>
      </c>
    </row>
    <row r="30">
      <c r="A30" s="12" t="inlineStr">
        <is>
          <t>Karta — opazovanje kitov</t>
        </is>
      </c>
      <c r="B30" s="13" t="inlineStr">
        <is>
          <t>osebe</t>
        </is>
      </c>
      <c r="C30" s="14">
        <f>B21</f>
        <v/>
      </c>
      <c r="D30" s="15">
        <f>B6</f>
        <v/>
      </c>
      <c r="E30" s="14">
        <f>C30*D30</f>
        <v/>
      </c>
    </row>
    <row r="31">
      <c r="A31" s="16" t="inlineStr">
        <is>
          <t>SKUPAJ</t>
        </is>
      </c>
      <c r="B31" s="17" t="n"/>
      <c r="C31" s="17" t="n"/>
      <c r="D31" s="18" t="n"/>
      <c r="E31" s="19">
        <f>SUM(E26:E30)</f>
        <v/>
      </c>
    </row>
    <row r="32">
      <c r="A32" s="16" t="inlineStr">
        <is>
          <t>Strošek na osebo</t>
        </is>
      </c>
      <c r="B32" s="17" t="n"/>
      <c r="C32" s="17" t="n"/>
      <c r="D32" s="18" t="n"/>
      <c r="E32" s="19">
        <f>E31/B6</f>
        <v/>
      </c>
    </row>
    <row r="34">
      <c r="A34" s="20" t="inlineStr">
        <is>
          <t>Opombe:</t>
        </is>
      </c>
    </row>
    <row r="35">
      <c r="A35" s="3" t="inlineStr">
        <is>
          <t>• Cene goriva, najema, nastanitve in vstopnic so ocenjene privzete vrednosti — zamenjaj jih z dejanskimi ponudbami, ko jih dobiš.</t>
        </is>
      </c>
    </row>
    <row r="36">
      <c r="A36" s="3" t="inlineStr">
        <is>
          <t>• Hrana za samooskrbo v hiškah/apartmajih ni vključena v ta izračun (variabilno, odvisno od okusa skupine).</t>
        </is>
      </c>
    </row>
    <row r="37">
      <c r="A37" s="3" t="inlineStr">
        <is>
          <t>• Razdalja (km) je groba ocena za celotno pot; prilagodi glede na dejansko izbrano traso.</t>
        </is>
      </c>
    </row>
    <row r="38">
      <c r="A38" s="3" t="inlineStr">
        <is>
          <t>• Število potrebnih hotelskih sob je izračunano za dvoposteljne sobe (ROUNDUP(osebe/2)).</t>
        </is>
      </c>
    </row>
  </sheetData>
  <mergeCells count="11">
    <mergeCell ref="A35:E35"/>
    <mergeCell ref="A31:D31"/>
    <mergeCell ref="A24:E24"/>
    <mergeCell ref="A2:E2"/>
    <mergeCell ref="A38:E38"/>
    <mergeCell ref="A1:E1"/>
    <mergeCell ref="A5:E5"/>
    <mergeCell ref="A37:E37"/>
    <mergeCell ref="A36:E36"/>
    <mergeCell ref="A32:D3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2026-09-07T08:57:02Z</dcterms:created>
  <dcterms:modified xsi:type="dcterms:W3CDTF">2026-09-07T08:57:02Z</dcterms:modified>
</cp:coreProperties>
</file>